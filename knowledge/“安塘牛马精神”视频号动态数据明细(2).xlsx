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\Desktop\"/>
    </mc:Choice>
  </mc:AlternateContent>
  <xr:revisionPtr revIDLastSave="0" documentId="13_ncr:1_{1E4D0F96-F59B-4543-BFFB-5FEC2B4FC9C9}" xr6:coauthVersionLast="47" xr6:coauthVersionMax="47" xr10:uidLastSave="{00000000-0000-0000-0000-000000000000}"/>
  <bookViews>
    <workbookView xWindow="-108" yWindow="-108" windowWidth="23256" windowHeight="12576" xr2:uid="{F1176412-E1BF-4A64-9A3B-0E22A7DBC71F}"/>
  </bookViews>
  <sheets>
    <sheet name="4月" sheetId="1" r:id="rId1"/>
    <sheet name="5月" sheetId="2" r:id="rId2"/>
    <sheet name="6月" sheetId="3" r:id="rId3"/>
    <sheet name="7月" sheetId="4" r:id="rId4"/>
    <sheet name="8月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<sst xmlns="http://schemas.openxmlformats.org/spreadsheetml/2006/main" count="149" uniqueCount="65">
  <si>
    <t>视频描述</t>
  </si>
  <si>
    <t>发布时间</t>
  </si>
  <si>
    <t>完播率</t>
  </si>
  <si>
    <t>平均播放时长</t>
  </si>
  <si>
    <t>播放量</t>
  </si>
  <si>
    <t>推荐</t>
  </si>
  <si>
    <t>喜欢</t>
  </si>
  <si>
    <t>评论量</t>
  </si>
  <si>
    <t>分享量</t>
  </si>
  <si>
    <t>关注量</t>
  </si>
  <si>
    <t>转发聊天和朋友圈</t>
  </si>
  <si>
    <t>设为铃声</t>
  </si>
  <si>
    <t>设为状态</t>
  </si>
  <si>
    <t>设为朋友圈封面</t>
  </si>
  <si>
    <t>企微链接点击次数</t>
  </si>
  <si>
    <t>企微链接点击人数</t>
  </si>
  <si>
    <t>添加到通讯录次数</t>
  </si>
  <si>
    <t>添加到通讯录人数</t>
  </si>
  <si>
    <t>14.34 秒</t>
  </si>
  <si>
    <t>-</t>
  </si>
  <si>
    <t>8.93 秒</t>
  </si>
  <si>
    <t>10.50 秒</t>
  </si>
  <si>
    <t>8.44 秒</t>
  </si>
  <si>
    <t>用一段粤语 Rap 打开安塘精品之旅：安塘
山青水秀解人忧
精美石艺乐悠悠
金钻凤梨甜到流
柴火云吞味可口
山塘河鲜最抢手
走地鸡鸭满山跑
值得你来安塘游、安塘游～
靓仔靓女，我在安塘等你哟😘
#交换世界计划 #五一出游</t>
    <phoneticPr fontId="1" type="noConversion"/>
  </si>
  <si>
    <r>
      <t>【安塘街道</t>
    </r>
    <r>
      <rPr>
        <sz val="14"/>
        <color theme="1"/>
        <rFont val="等线"/>
        <family val="3"/>
        <charset val="128"/>
        <scheme val="minor"/>
      </rPr>
      <t>・</t>
    </r>
    <r>
      <rPr>
        <sz val="14"/>
        <color theme="1"/>
        <rFont val="等线"/>
        <family val="3"/>
        <charset val="134"/>
        <scheme val="minor"/>
      </rPr>
      <t>乡村合伙人和乡村运营团队招募】在云浮安塘，下小白咖啡、罗寺碉楼咖啡、石头地村文化活动中心…… 一个个美学空间正点亮乡村日常。现在，我们正式寻找有情怀、有实力、有创意的你 ——“乡村合伙人” 及专业运营团队！
我们提供：空间免租、政策扶持、服务赋能；
一起做：激活乡村资源，打造农文旅融合新地标。
已有 “下小白”、“悦动乡村” 团队扎根生长，等你来接力。
乡村不只有情怀，更是事业的蓝海。安塘合伙人，等你来 “安” 家立业！</t>
    </r>
    <phoneticPr fontId="1" type="noConversion"/>
  </si>
  <si>
    <t>只要三秒，马上变红 #广东天气有多离谱 #热 #万万没想到 #安塘礼伴</t>
    <phoneticPr fontId="1" type="noConversion"/>
  </si>
  <si>
    <t>12.24秒</t>
    <phoneticPr fontId="1" type="noConversion"/>
  </si>
  <si>
    <t>8.99秒</t>
    <phoneticPr fontId="1" type="noConversion"/>
  </si>
  <si>
    <t>巾帼畅享 “云货” 出圈，解锁安塘礼伴好物</t>
    <phoneticPr fontId="1" type="noConversion"/>
  </si>
  <si>
    <t xml:space="preserve">用一段粤语 Rap 打开安塘精品之旅：安塘
山青水秀解人忧
精美石艺乐悠悠
金钻凤梨甜到流
柴火云吞味可口
山塘河鲜最抢手
走地鸡鸭满山跑
值得你来安塘游、安塘游～
靓仔靓女，我在安塘等你哟😘
</t>
    <phoneticPr fontId="1" type="noConversion"/>
  </si>
  <si>
    <t>谁懂啊！三国名场面被一碗米拿捏了，二爷认证：666！</t>
    <phoneticPr fontId="1" type="noConversion"/>
  </si>
  <si>
    <t>会做农家私房菜？下白村流量红利等紧您</t>
    <phoneticPr fontId="1" type="noConversion"/>
  </si>
  <si>
    <t>安塘好物变变变</t>
  </si>
  <si>
    <t>树仔面，99%广东人都一定未食过</t>
    <phoneticPr fontId="1" type="noConversion"/>
  </si>
  <si>
    <t>17.22秒</t>
    <phoneticPr fontId="1" type="noConversion"/>
  </si>
  <si>
    <t>4.55秒</t>
    <phoneticPr fontId="1" type="noConversion"/>
  </si>
  <si>
    <t>47.28秒</t>
    <phoneticPr fontId="1" type="noConversion"/>
  </si>
  <si>
    <t>石头地村为何 2020 年选择种植凤梨，而不是别的水果？</t>
    <phoneticPr fontId="1" type="noConversion"/>
  </si>
  <si>
    <t>37.04秒</t>
    <phoneticPr fontId="1" type="noConversion"/>
  </si>
  <si>
    <t xml:space="preserve">安塘街石材加工技能提升培训班顺利举办！大师授课，学员收获满满 </t>
    <phoneticPr fontId="1" type="noConversion"/>
  </si>
  <si>
    <t>从田间采摘再送入加工厂，一颗云浮安塘凤梨究竟要经历几步，才会变成凤梨干？</t>
    <phoneticPr fontId="1" type="noConversion"/>
  </si>
  <si>
    <t>21.42秒</t>
    <phoneticPr fontId="1" type="noConversion"/>
  </si>
  <si>
    <t>24.85秒</t>
    <phoneticPr fontId="1" type="noConversion"/>
  </si>
  <si>
    <t>安塘牛马直播间，今晚七点半约定您，不见不散</t>
    <phoneticPr fontId="1" type="noConversion"/>
  </si>
  <si>
    <t>10.62秒</t>
    <phoneticPr fontId="1" type="noConversion"/>
  </si>
  <si>
    <t>以青春扎根山野，用好物回馈乡土，安塘金钻凤梨新鲜采摘。</t>
    <phoneticPr fontId="1" type="noConversion"/>
  </si>
  <si>
    <t>12.25秒</t>
    <phoneticPr fontId="1" type="noConversion"/>
  </si>
  <si>
    <t>山野赴夏，凤梨上线🍍 青春为伴，助农前行。</t>
    <phoneticPr fontId="1" type="noConversion"/>
  </si>
  <si>
    <t>5.20秒</t>
    <phoneticPr fontId="1" type="noConversion"/>
  </si>
  <si>
    <t>我一个视频发出去直接涨粉12个亿</t>
    <phoneticPr fontId="1" type="noConversion"/>
  </si>
  <si>
    <t>18.27秒</t>
    <phoneticPr fontId="1" type="noConversion"/>
  </si>
  <si>
    <t>听说安塘凤梨很好吃，今天来验证一下</t>
    <phoneticPr fontId="1" type="noConversion"/>
  </si>
  <si>
    <t>31.76秒</t>
    <phoneticPr fontId="1" type="noConversion"/>
  </si>
  <si>
    <t>街头随机采访，挖到安塘宝藏农货</t>
    <phoneticPr fontId="1" type="noConversion"/>
  </si>
  <si>
    <t>24.48秒</t>
    <phoneticPr fontId="1" type="noConversion"/>
  </si>
  <si>
    <t>吵架归吵架，直播不能耽误</t>
    <phoneticPr fontId="1" type="noConversion"/>
  </si>
  <si>
    <t>20.32秒</t>
    <phoneticPr fontId="1" type="noConversion"/>
  </si>
  <si>
    <t>假如你还有80年，会干什么呢？</t>
    <phoneticPr fontId="1" type="noConversion"/>
  </si>
  <si>
    <t>14.02秒</t>
    <phoneticPr fontId="1" type="noConversion"/>
  </si>
  <si>
    <t>警惕电信诈骗，守护财产安全</t>
    <phoneticPr fontId="1" type="noConversion"/>
  </si>
  <si>
    <t>11.42秒</t>
    <phoneticPr fontId="1" type="noConversion"/>
  </si>
  <si>
    <t>不起眼一盆积水，竟是登革热的隐患源头</t>
    <phoneticPr fontId="1" type="noConversion"/>
  </si>
  <si>
    <t>38.67秒</t>
    <phoneticPr fontId="1" type="noConversion"/>
  </si>
  <si>
    <t>分享量</t>
    <phoneticPr fontId="1" type="noConversion"/>
  </si>
  <si>
    <t>关注量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</si>
</sst>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10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10" fontId="3" fillId="3" borderId="2" xfId="0" applyNumberFormat="1" applyFont="1" applyFill="1" applyBorder="1" applyAlignment="1">
      <alignment horizontal="center" vertical="center" wrapText="1"/>
    </xf>
    <xf numFmtId="10" fontId="3" fillId="3" borderId="3" xfId="0" applyNumberFormat="1" applyFont="1" applyFill="1" applyBorder="1" applyAlignment="1">
      <alignment horizontal="center" vertical="center" wrapText="1"/>
    </xf>
    <xf numFmtId="10" fontId="3" fillId="3" borderId="4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D7F4-C916-4281-934A-C515F0D7D524}">
  <dimension ref="A1:S20"/>
  <sheetViews>
    <sheetView tabSelected="1" topLeftCell="D1" workbookViewId="0">
      <selection activeCell="K1" sqref="K1:K1048576"/>
    </sheetView>
  </sheetViews>
  <sheetFormatPr defaultRowHeight="13.8" x14ac:dyDescent="0.25"/>
  <cols>
    <col min="1" max="18" width="20.77734375" style="1" customWidth="1"/>
  </cols>
  <sheetData>
    <row r="1" spans="1:19" ht="61.8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  <c r="J1" s="3" t="s">
        <v>8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/>
    </row>
    <row r="2" spans="1:19" ht="106.8" customHeight="1" x14ac:dyDescent="0.25">
      <c r="A2" s="4" t="s">
        <v>28</v>
      </c>
      <c r="B2" s="5">
        <v>46142</v>
      </c>
      <c r="C2" s="6">
        <v>6.3399999999999998E-2</v>
      </c>
      <c r="D2" s="4" t="s">
        <v>18</v>
      </c>
      <c r="E2" s="4">
        <v>1863</v>
      </c>
      <c r="F2" s="4">
        <v>16</v>
      </c>
      <c r="G2" s="4">
        <v>8</v>
      </c>
      <c r="H2" s="4">
        <v>2</v>
      </c>
      <c r="I2" s="10">
        <v>3</v>
      </c>
      <c r="J2" s="4">
        <v>15</v>
      </c>
      <c r="K2" s="4">
        <v>15</v>
      </c>
      <c r="L2" s="4">
        <v>0</v>
      </c>
      <c r="M2" s="4">
        <v>0</v>
      </c>
      <c r="N2" s="4">
        <v>0</v>
      </c>
      <c r="O2" s="4">
        <f>-V2</f>
        <v>0</v>
      </c>
      <c r="P2" s="4" t="s">
        <v>19</v>
      </c>
      <c r="Q2" s="4" t="s">
        <v>19</v>
      </c>
      <c r="R2" s="4" t="s">
        <v>19</v>
      </c>
    </row>
    <row r="3" spans="1:19" ht="27.6" customHeight="1" x14ac:dyDescent="0.25">
      <c r="A3" s="11" t="s">
        <v>29</v>
      </c>
      <c r="B3" s="12">
        <v>46140</v>
      </c>
      <c r="C3" s="13">
        <v>0.22209999999999999</v>
      </c>
      <c r="D3" s="11" t="s">
        <v>20</v>
      </c>
      <c r="E3" s="11">
        <v>3925</v>
      </c>
      <c r="F3" s="11">
        <v>22</v>
      </c>
      <c r="G3" s="11">
        <v>8</v>
      </c>
      <c r="H3" s="11">
        <v>0</v>
      </c>
      <c r="I3" s="11">
        <v>2</v>
      </c>
      <c r="J3" s="11">
        <v>31</v>
      </c>
      <c r="K3" s="11">
        <v>31</v>
      </c>
      <c r="L3" s="11">
        <v>0</v>
      </c>
      <c r="M3" s="11">
        <v>0</v>
      </c>
      <c r="N3" s="11">
        <v>0</v>
      </c>
      <c r="O3" s="11" t="s">
        <v>19</v>
      </c>
      <c r="P3" s="11" t="s">
        <v>19</v>
      </c>
      <c r="Q3" s="11" t="s">
        <v>19</v>
      </c>
      <c r="R3" s="11" t="s">
        <v>19</v>
      </c>
    </row>
    <row r="4" spans="1:19" ht="17.399999999999999" customHeight="1" x14ac:dyDescent="0.25">
      <c r="A4" s="11"/>
      <c r="B4" s="12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9" ht="17.399999999999999" customHeight="1" x14ac:dyDescent="0.25">
      <c r="A5" s="11"/>
      <c r="B5" s="12"/>
      <c r="C5" s="13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9" ht="17.399999999999999" customHeight="1" x14ac:dyDescent="0.25">
      <c r="A6" s="11"/>
      <c r="B6" s="12"/>
      <c r="C6" s="13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9" ht="17.399999999999999" customHeight="1" x14ac:dyDescent="0.25">
      <c r="A7" s="11"/>
      <c r="B7" s="12"/>
      <c r="C7" s="13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9" ht="17.399999999999999" customHeight="1" x14ac:dyDescent="0.25">
      <c r="A8" s="11"/>
      <c r="B8" s="12"/>
      <c r="C8" s="13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9" ht="17.399999999999999" customHeight="1" x14ac:dyDescent="0.25">
      <c r="A9" s="11"/>
      <c r="B9" s="12"/>
      <c r="C9" s="13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9" ht="17.399999999999999" customHeight="1" x14ac:dyDescent="0.25">
      <c r="A10" s="11"/>
      <c r="B10" s="12"/>
      <c r="C10" s="13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9" ht="17.399999999999999" customHeight="1" x14ac:dyDescent="0.25">
      <c r="A11" s="11"/>
      <c r="B11" s="12"/>
      <c r="C11" s="13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9" ht="17.399999999999999" customHeight="1" x14ac:dyDescent="0.25">
      <c r="A12" s="11"/>
      <c r="B12" s="12"/>
      <c r="C12" s="13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9" ht="17.399999999999999" customHeight="1" x14ac:dyDescent="0.25">
      <c r="A13" s="11"/>
      <c r="B13" s="12"/>
      <c r="C13" s="13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9" ht="41.4" customHeight="1" x14ac:dyDescent="0.25">
      <c r="A14" s="11" t="s">
        <v>24</v>
      </c>
      <c r="B14" s="12">
        <v>46124</v>
      </c>
      <c r="C14" s="13">
        <v>8.8900000000000007E-2</v>
      </c>
      <c r="D14" s="11" t="s">
        <v>21</v>
      </c>
      <c r="E14" s="11">
        <v>1429</v>
      </c>
      <c r="F14" s="11">
        <v>19</v>
      </c>
      <c r="G14" s="11">
        <v>10</v>
      </c>
      <c r="H14" s="11">
        <v>0</v>
      </c>
      <c r="I14" s="11">
        <v>1</v>
      </c>
      <c r="J14" s="11">
        <v>28</v>
      </c>
      <c r="K14" s="11">
        <v>28</v>
      </c>
      <c r="L14" s="11">
        <v>0</v>
      </c>
      <c r="M14" s="11">
        <v>0</v>
      </c>
      <c r="N14" s="11">
        <v>0</v>
      </c>
      <c r="O14" s="11" t="s">
        <v>19</v>
      </c>
      <c r="P14" s="11" t="s">
        <v>19</v>
      </c>
      <c r="Q14" s="11" t="s">
        <v>19</v>
      </c>
      <c r="R14" s="11" t="s">
        <v>19</v>
      </c>
    </row>
    <row r="15" spans="1:19" ht="17.399999999999999" customHeight="1" x14ac:dyDescent="0.25">
      <c r="A15" s="11"/>
      <c r="B15" s="12"/>
      <c r="C15" s="13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9" ht="17.399999999999999" customHeight="1" x14ac:dyDescent="0.25">
      <c r="A16" s="11"/>
      <c r="B16" s="12"/>
      <c r="C16" s="13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ht="17.399999999999999" customHeight="1" x14ac:dyDescent="0.25">
      <c r="A17" s="11"/>
      <c r="B17" s="12"/>
      <c r="C17" s="13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ht="17.399999999999999" customHeight="1" x14ac:dyDescent="0.25">
      <c r="A18" s="11"/>
      <c r="B18" s="12"/>
      <c r="C18" s="13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ht="36.6" customHeight="1" x14ac:dyDescent="0.25">
      <c r="A19" s="11"/>
      <c r="B19" s="12"/>
      <c r="C19" s="13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ht="114.6" customHeight="1" x14ac:dyDescent="0.25">
      <c r="A20" s="4" t="s">
        <v>30</v>
      </c>
      <c r="B20" s="5">
        <v>46120</v>
      </c>
      <c r="C20" s="6">
        <v>0.36670000000000003</v>
      </c>
      <c r="D20" s="4" t="s">
        <v>22</v>
      </c>
      <c r="E20" s="4">
        <v>3534</v>
      </c>
      <c r="F20" s="4">
        <v>23</v>
      </c>
      <c r="G20" s="4">
        <v>14</v>
      </c>
      <c r="H20" s="4">
        <v>2</v>
      </c>
      <c r="I20" s="10">
        <v>0</v>
      </c>
      <c r="J20" s="4">
        <v>28</v>
      </c>
      <c r="K20" s="4">
        <v>28</v>
      </c>
      <c r="L20" s="4">
        <v>0</v>
      </c>
      <c r="M20" s="4">
        <v>0</v>
      </c>
      <c r="N20" s="4">
        <v>0</v>
      </c>
      <c r="O20" s="4" t="s">
        <v>19</v>
      </c>
      <c r="P20" s="4" t="s">
        <v>19</v>
      </c>
      <c r="Q20" s="4" t="s">
        <v>19</v>
      </c>
      <c r="R20" s="4" t="s">
        <v>19</v>
      </c>
    </row>
  </sheetData>
  <mergeCells count="36">
    <mergeCell ref="A3:A13"/>
    <mergeCell ref="A14:A19"/>
    <mergeCell ref="M14:M19"/>
    <mergeCell ref="N14:N19"/>
    <mergeCell ref="O14:O19"/>
    <mergeCell ref="B14:B19"/>
    <mergeCell ref="C14:C19"/>
    <mergeCell ref="D14:D19"/>
    <mergeCell ref="E14:E19"/>
    <mergeCell ref="F14:F19"/>
    <mergeCell ref="M3:M13"/>
    <mergeCell ref="N3:N13"/>
    <mergeCell ref="O3:O13"/>
    <mergeCell ref="B3:B13"/>
    <mergeCell ref="C3:C13"/>
    <mergeCell ref="D3:D13"/>
    <mergeCell ref="P14:P19"/>
    <mergeCell ref="Q14:Q19"/>
    <mergeCell ref="R14:R19"/>
    <mergeCell ref="G14:G19"/>
    <mergeCell ref="H14:H19"/>
    <mergeCell ref="J14:J19"/>
    <mergeCell ref="K14:K19"/>
    <mergeCell ref="L14:L19"/>
    <mergeCell ref="I14:I19"/>
    <mergeCell ref="E3:E13"/>
    <mergeCell ref="F3:F13"/>
    <mergeCell ref="P3:P13"/>
    <mergeCell ref="Q3:Q13"/>
    <mergeCell ref="R3:R13"/>
    <mergeCell ref="G3:G13"/>
    <mergeCell ref="H3:H13"/>
    <mergeCell ref="J3:J13"/>
    <mergeCell ref="K3:K13"/>
    <mergeCell ref="L3:L13"/>
    <mergeCell ref="I3:I1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0AAA-4485-4997-961D-E890E44B60DC}">
  <dimension ref="A1:R13"/>
  <sheetViews>
    <sheetView topLeftCell="C1" workbookViewId="0">
      <selection activeCell="I1" sqref="I1:J1"/>
    </sheetView>
  </sheetViews>
  <sheetFormatPr defaultRowHeight="13.8" x14ac:dyDescent="0.25"/>
  <cols>
    <col min="1" max="18" width="20.77734375" customWidth="1"/>
  </cols>
  <sheetData>
    <row r="1" spans="1:18" ht="52.2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64</v>
      </c>
      <c r="J1" s="3" t="s">
        <v>63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87" x14ac:dyDescent="0.25">
      <c r="A2" s="4" t="s">
        <v>25</v>
      </c>
      <c r="B2" s="5">
        <v>46171</v>
      </c>
      <c r="C2" s="6">
        <v>0.54420000000000002</v>
      </c>
      <c r="D2" s="4" t="s">
        <v>27</v>
      </c>
      <c r="E2" s="4">
        <v>8700</v>
      </c>
      <c r="F2" s="4">
        <v>19</v>
      </c>
      <c r="G2" s="4">
        <v>18</v>
      </c>
      <c r="H2" s="4">
        <v>5</v>
      </c>
      <c r="I2" s="4">
        <v>2</v>
      </c>
      <c r="J2" s="4">
        <v>8</v>
      </c>
      <c r="K2" s="4">
        <v>8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</row>
    <row r="3" spans="1:18" ht="13.8" customHeight="1" x14ac:dyDescent="0.25">
      <c r="A3" s="11" t="s">
        <v>23</v>
      </c>
      <c r="B3" s="12">
        <v>46147</v>
      </c>
      <c r="C3" s="13">
        <v>0.42809999999999998</v>
      </c>
      <c r="D3" s="11" t="s">
        <v>26</v>
      </c>
      <c r="E3" s="11">
        <v>5637</v>
      </c>
      <c r="F3" s="11">
        <v>17</v>
      </c>
      <c r="G3" s="11">
        <v>14</v>
      </c>
      <c r="H3" s="11">
        <v>4</v>
      </c>
      <c r="I3" s="11">
        <v>5</v>
      </c>
      <c r="J3" s="11">
        <v>24</v>
      </c>
      <c r="K3" s="11">
        <v>24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</row>
    <row r="4" spans="1:18" ht="13.8" customHeight="1" x14ac:dyDescent="0.25">
      <c r="A4" s="11"/>
      <c r="B4" s="12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13.8" customHeight="1" x14ac:dyDescent="0.25">
      <c r="A5" s="11"/>
      <c r="B5" s="12"/>
      <c r="C5" s="13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13.8" customHeight="1" x14ac:dyDescent="0.25">
      <c r="A6" s="11"/>
      <c r="B6" s="12"/>
      <c r="C6" s="13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13.8" customHeight="1" x14ac:dyDescent="0.25">
      <c r="A7" s="11"/>
      <c r="B7" s="12"/>
      <c r="C7" s="13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ht="13.8" customHeight="1" x14ac:dyDescent="0.25">
      <c r="A8" s="11"/>
      <c r="B8" s="12"/>
      <c r="C8" s="13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ht="13.8" customHeight="1" x14ac:dyDescent="0.25">
      <c r="A9" s="11"/>
      <c r="B9" s="12"/>
      <c r="C9" s="13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ht="13.8" customHeight="1" x14ac:dyDescent="0.25">
      <c r="A10" s="11"/>
      <c r="B10" s="12"/>
      <c r="C10" s="13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13.8" customHeight="1" x14ac:dyDescent="0.25">
      <c r="A11" s="11"/>
      <c r="B11" s="12"/>
      <c r="C11" s="13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ht="13.8" customHeight="1" x14ac:dyDescent="0.25">
      <c r="A12" s="11"/>
      <c r="B12" s="12"/>
      <c r="C12" s="13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13.8" customHeight="1" x14ac:dyDescent="0.25">
      <c r="A13" s="11"/>
      <c r="B13" s="12"/>
      <c r="C13" s="13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</sheetData>
  <mergeCells count="18">
    <mergeCell ref="R3:R13"/>
    <mergeCell ref="L3:L13"/>
    <mergeCell ref="M3:M13"/>
    <mergeCell ref="N3:N13"/>
    <mergeCell ref="O3:O13"/>
    <mergeCell ref="P3:P13"/>
    <mergeCell ref="Q3:Q13"/>
    <mergeCell ref="K3:K13"/>
    <mergeCell ref="A3:A13"/>
    <mergeCell ref="B3:B13"/>
    <mergeCell ref="C3:C13"/>
    <mergeCell ref="D3:D13"/>
    <mergeCell ref="E3:E13"/>
    <mergeCell ref="F3:F13"/>
    <mergeCell ref="G3:G13"/>
    <mergeCell ref="H3:H13"/>
    <mergeCell ref="I3:I13"/>
    <mergeCell ref="J3:J1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CBEB8-1961-43FF-9AB4-F7D7B87A35AA}">
  <dimension ref="A1:R24"/>
  <sheetViews>
    <sheetView workbookViewId="0">
      <selection activeCell="D1" sqref="A1:XFD1"/>
    </sheetView>
  </sheetViews>
  <sheetFormatPr defaultRowHeight="13.8" x14ac:dyDescent="0.25"/>
  <cols>
    <col min="1" max="18" width="20.77734375" customWidth="1"/>
  </cols>
  <sheetData>
    <row r="1" spans="1:18" ht="61.8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64</v>
      </c>
      <c r="J1" s="3" t="s">
        <v>63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120.6" customHeight="1" x14ac:dyDescent="0.25">
      <c r="A2" s="4" t="s">
        <v>31</v>
      </c>
      <c r="B2" s="5">
        <v>46203</v>
      </c>
      <c r="C2" s="6">
        <v>0.1978</v>
      </c>
      <c r="D2" s="4" t="s">
        <v>34</v>
      </c>
      <c r="E2" s="4">
        <v>6273</v>
      </c>
      <c r="F2" s="4">
        <v>73</v>
      </c>
      <c r="G2" s="4">
        <v>51</v>
      </c>
      <c r="H2" s="4">
        <v>0</v>
      </c>
      <c r="I2" s="4">
        <v>6</v>
      </c>
      <c r="J2" s="4">
        <v>82</v>
      </c>
      <c r="K2" s="4">
        <v>82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</row>
    <row r="3" spans="1:18" x14ac:dyDescent="0.25">
      <c r="A3" s="11" t="s">
        <v>32</v>
      </c>
      <c r="B3" s="12">
        <v>46199</v>
      </c>
      <c r="C3" s="13">
        <v>0.52049999999999996</v>
      </c>
      <c r="D3" s="11" t="s">
        <v>35</v>
      </c>
      <c r="E3" s="11">
        <v>4245</v>
      </c>
      <c r="F3" s="11">
        <v>27</v>
      </c>
      <c r="G3" s="11">
        <v>22</v>
      </c>
      <c r="H3" s="11">
        <v>2</v>
      </c>
      <c r="I3" s="11">
        <v>2</v>
      </c>
      <c r="J3" s="11">
        <v>52</v>
      </c>
      <c r="K3" s="11">
        <v>52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</row>
    <row r="4" spans="1:18" x14ac:dyDescent="0.25">
      <c r="A4" s="11"/>
      <c r="B4" s="12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x14ac:dyDescent="0.25">
      <c r="A5" s="11"/>
      <c r="B5" s="12"/>
      <c r="C5" s="13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x14ac:dyDescent="0.25">
      <c r="A6" s="11"/>
      <c r="B6" s="12"/>
      <c r="C6" s="13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25">
      <c r="A7" s="11"/>
      <c r="B7" s="12"/>
      <c r="C7" s="13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25">
      <c r="A8" s="11"/>
      <c r="B8" s="12"/>
      <c r="C8" s="13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1"/>
      <c r="B9" s="12"/>
      <c r="C9" s="13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25">
      <c r="A10" s="11"/>
      <c r="B10" s="12"/>
      <c r="C10" s="13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11"/>
      <c r="B11" s="12"/>
      <c r="C11" s="13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25">
      <c r="A12" s="11"/>
      <c r="B12" s="12"/>
      <c r="C12" s="13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x14ac:dyDescent="0.25">
      <c r="A13" s="11"/>
      <c r="B13" s="12"/>
      <c r="C13" s="13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25">
      <c r="A14" s="11" t="s">
        <v>33</v>
      </c>
      <c r="B14" s="12">
        <v>46185</v>
      </c>
      <c r="C14" s="13">
        <v>0.2011</v>
      </c>
      <c r="D14" s="11" t="s">
        <v>36</v>
      </c>
      <c r="E14" s="11">
        <v>41607</v>
      </c>
      <c r="F14" s="11">
        <v>331</v>
      </c>
      <c r="G14" s="11">
        <v>259</v>
      </c>
      <c r="H14" s="11">
        <v>59</v>
      </c>
      <c r="I14" s="11">
        <v>133</v>
      </c>
      <c r="J14" s="11">
        <v>950</v>
      </c>
      <c r="K14" s="11">
        <v>950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</row>
    <row r="15" spans="1:18" x14ac:dyDescent="0.25">
      <c r="A15" s="11"/>
      <c r="B15" s="12"/>
      <c r="C15" s="13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x14ac:dyDescent="0.25">
      <c r="A16" s="11"/>
      <c r="B16" s="12"/>
      <c r="C16" s="13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25">
      <c r="A17" s="11"/>
      <c r="B17" s="12"/>
      <c r="C17" s="13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25">
      <c r="A18" s="11"/>
      <c r="B18" s="12"/>
      <c r="C18" s="13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x14ac:dyDescent="0.25">
      <c r="A19" s="11"/>
      <c r="B19" s="12"/>
      <c r="C19" s="13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25">
      <c r="A20" s="11"/>
      <c r="B20" s="12"/>
      <c r="C20" s="13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x14ac:dyDescent="0.25">
      <c r="A21" s="11"/>
      <c r="B21" s="12"/>
      <c r="C21" s="13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25">
      <c r="A22" s="11"/>
      <c r="B22" s="12"/>
      <c r="C22" s="13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x14ac:dyDescent="0.25">
      <c r="A23" s="11"/>
      <c r="B23" s="12"/>
      <c r="C23" s="13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25">
      <c r="A24" s="11"/>
      <c r="B24" s="12"/>
      <c r="C24" s="13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</sheetData>
  <mergeCells count="36">
    <mergeCell ref="R14:R24"/>
    <mergeCell ref="G14:G24"/>
    <mergeCell ref="H14:H24"/>
    <mergeCell ref="I14:I24"/>
    <mergeCell ref="J14:J24"/>
    <mergeCell ref="K14:K24"/>
    <mergeCell ref="L14:L24"/>
    <mergeCell ref="M14:M24"/>
    <mergeCell ref="N14:N24"/>
    <mergeCell ref="O14:O24"/>
    <mergeCell ref="P14:P24"/>
    <mergeCell ref="Q14:Q24"/>
    <mergeCell ref="A14:A24"/>
    <mergeCell ref="B14:B24"/>
    <mergeCell ref="C14:C24"/>
    <mergeCell ref="D14:D24"/>
    <mergeCell ref="E14:E24"/>
    <mergeCell ref="F14:F24"/>
    <mergeCell ref="M3:M13"/>
    <mergeCell ref="N3:N13"/>
    <mergeCell ref="O3:O13"/>
    <mergeCell ref="P3:P13"/>
    <mergeCell ref="F3:F13"/>
    <mergeCell ref="Q3:Q13"/>
    <mergeCell ref="R3:R13"/>
    <mergeCell ref="G3:G13"/>
    <mergeCell ref="H3:H13"/>
    <mergeCell ref="I3:I13"/>
    <mergeCell ref="J3:J13"/>
    <mergeCell ref="K3:K13"/>
    <mergeCell ref="L3:L13"/>
    <mergeCell ref="A3:A13"/>
    <mergeCell ref="B3:B13"/>
    <mergeCell ref="C3:C13"/>
    <mergeCell ref="D3:D13"/>
    <mergeCell ref="E3:E1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40F35-CFEC-4F22-A380-5860A1B87E1E}">
  <dimension ref="A1:R29"/>
  <sheetViews>
    <sheetView topLeftCell="D1" workbookViewId="0">
      <selection activeCell="I1" sqref="I1:J1"/>
    </sheetView>
  </sheetViews>
  <sheetFormatPr defaultRowHeight="13.8" x14ac:dyDescent="0.25"/>
  <cols>
    <col min="1" max="18" width="20.77734375" customWidth="1"/>
  </cols>
  <sheetData>
    <row r="1" spans="1:18" ht="63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64</v>
      </c>
      <c r="J1" s="3" t="s">
        <v>63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100.05" customHeight="1" x14ac:dyDescent="0.25">
      <c r="A2" s="4" t="s">
        <v>37</v>
      </c>
      <c r="B2" s="5">
        <v>46234</v>
      </c>
      <c r="C2" s="6">
        <v>0.18720000000000001</v>
      </c>
      <c r="D2" s="4" t="s">
        <v>38</v>
      </c>
      <c r="E2" s="4">
        <v>14600</v>
      </c>
      <c r="F2" s="4">
        <v>129</v>
      </c>
      <c r="G2" s="4">
        <v>100</v>
      </c>
      <c r="H2" s="4">
        <v>11</v>
      </c>
      <c r="I2" s="4">
        <v>25</v>
      </c>
      <c r="J2" s="4">
        <v>257</v>
      </c>
      <c r="K2" s="4">
        <v>257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</row>
    <row r="3" spans="1:18" x14ac:dyDescent="0.25">
      <c r="A3" s="14" t="s">
        <v>39</v>
      </c>
      <c r="B3" s="17">
        <v>46231</v>
      </c>
      <c r="C3" s="20">
        <v>8.6900000000000005E-2</v>
      </c>
      <c r="D3" s="14" t="s">
        <v>41</v>
      </c>
      <c r="E3" s="14">
        <v>4165</v>
      </c>
      <c r="F3" s="14">
        <v>47</v>
      </c>
      <c r="G3" s="14">
        <v>37</v>
      </c>
      <c r="H3" s="14">
        <v>1</v>
      </c>
      <c r="I3" s="14">
        <v>0</v>
      </c>
      <c r="J3" s="14">
        <v>73</v>
      </c>
      <c r="K3" s="14">
        <v>73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</row>
    <row r="4" spans="1:18" x14ac:dyDescent="0.25">
      <c r="A4" s="15"/>
      <c r="B4" s="18"/>
      <c r="C4" s="21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x14ac:dyDescent="0.25">
      <c r="A5" s="15"/>
      <c r="B5" s="18"/>
      <c r="C5" s="21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1:18" x14ac:dyDescent="0.25">
      <c r="A6" s="15"/>
      <c r="B6" s="18"/>
      <c r="C6" s="21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</row>
    <row r="7" spans="1:18" x14ac:dyDescent="0.25">
      <c r="A7" s="15"/>
      <c r="B7" s="18"/>
      <c r="C7" s="21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18" x14ac:dyDescent="0.25">
      <c r="A8" s="15"/>
      <c r="B8" s="18"/>
      <c r="C8" s="21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1:18" x14ac:dyDescent="0.25">
      <c r="A9" s="15"/>
      <c r="B9" s="18"/>
      <c r="C9" s="21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 spans="1:18" x14ac:dyDescent="0.25">
      <c r="A10" s="15"/>
      <c r="B10" s="18"/>
      <c r="C10" s="21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 x14ac:dyDescent="0.25">
      <c r="A11" s="15"/>
      <c r="B11" s="18"/>
      <c r="C11" s="21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</row>
    <row r="12" spans="1:18" x14ac:dyDescent="0.25">
      <c r="A12" s="15"/>
      <c r="B12" s="18"/>
      <c r="C12" s="21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 x14ac:dyDescent="0.25">
      <c r="A13" s="16"/>
      <c r="B13" s="19"/>
      <c r="C13" s="22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spans="1:18" ht="13.8" customHeight="1" x14ac:dyDescent="0.25">
      <c r="A14" s="14" t="s">
        <v>40</v>
      </c>
      <c r="B14" s="17">
        <v>46218</v>
      </c>
      <c r="C14" s="20">
        <v>0.1326</v>
      </c>
      <c r="D14" s="14" t="s">
        <v>42</v>
      </c>
      <c r="E14" s="14">
        <v>10856</v>
      </c>
      <c r="F14" s="14">
        <v>68</v>
      </c>
      <c r="G14" s="14">
        <v>58</v>
      </c>
      <c r="H14" s="14">
        <v>9</v>
      </c>
      <c r="I14" s="14">
        <v>8</v>
      </c>
      <c r="J14" s="14">
        <v>85</v>
      </c>
      <c r="K14" s="14">
        <v>85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</row>
    <row r="15" spans="1:18" ht="13.8" customHeight="1" x14ac:dyDescent="0.25">
      <c r="A15" s="15"/>
      <c r="B15" s="18"/>
      <c r="C15" s="21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 ht="13.8" customHeight="1" x14ac:dyDescent="0.25">
      <c r="A16" s="15"/>
      <c r="B16" s="18"/>
      <c r="C16" s="21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1:18" ht="13.8" customHeight="1" x14ac:dyDescent="0.25">
      <c r="A17" s="15"/>
      <c r="B17" s="18"/>
      <c r="C17" s="21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 ht="13.8" customHeight="1" x14ac:dyDescent="0.25">
      <c r="A18" s="15"/>
      <c r="B18" s="18"/>
      <c r="C18" s="21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1:18" ht="13.8" customHeight="1" x14ac:dyDescent="0.25">
      <c r="A19" s="15"/>
      <c r="B19" s="18"/>
      <c r="C19" s="21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 ht="13.8" customHeight="1" x14ac:dyDescent="0.25">
      <c r="A20" s="15"/>
      <c r="B20" s="18"/>
      <c r="C20" s="21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 ht="13.8" customHeight="1" x14ac:dyDescent="0.25">
      <c r="A21" s="15"/>
      <c r="B21" s="18"/>
      <c r="C21" s="21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13.8" customHeight="1" x14ac:dyDescent="0.25">
      <c r="A22" s="15"/>
      <c r="B22" s="18"/>
      <c r="C22" s="21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3.8" customHeight="1" x14ac:dyDescent="0.25">
      <c r="A23" s="15"/>
      <c r="B23" s="18"/>
      <c r="C23" s="21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18" ht="13.8" customHeight="1" x14ac:dyDescent="0.25">
      <c r="A24" s="16"/>
      <c r="B24" s="19"/>
      <c r="C24" s="22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 spans="1:18" ht="69.599999999999994" x14ac:dyDescent="0.25">
      <c r="A25" s="4" t="s">
        <v>43</v>
      </c>
      <c r="B25" s="5">
        <v>46215</v>
      </c>
      <c r="C25" s="6">
        <v>0.4032</v>
      </c>
      <c r="D25" s="4" t="s">
        <v>44</v>
      </c>
      <c r="E25" s="4">
        <v>5005</v>
      </c>
      <c r="F25" s="4">
        <v>50</v>
      </c>
      <c r="G25" s="4">
        <v>52</v>
      </c>
      <c r="H25" s="4">
        <v>5</v>
      </c>
      <c r="I25" s="4">
        <v>7</v>
      </c>
      <c r="J25" s="4">
        <v>55</v>
      </c>
      <c r="K25" s="4">
        <v>55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</row>
    <row r="26" spans="1:18" ht="100.05" customHeight="1" x14ac:dyDescent="0.25">
      <c r="A26" s="4" t="s">
        <v>45</v>
      </c>
      <c r="B26" s="5">
        <v>46213</v>
      </c>
      <c r="C26" s="6">
        <v>0.4143</v>
      </c>
      <c r="D26" s="4" t="s">
        <v>46</v>
      </c>
      <c r="E26" s="4">
        <v>13213</v>
      </c>
      <c r="F26" s="4">
        <v>67</v>
      </c>
      <c r="G26" s="4">
        <v>59</v>
      </c>
      <c r="H26" s="4">
        <v>14</v>
      </c>
      <c r="I26" s="4">
        <v>3</v>
      </c>
      <c r="J26" s="4">
        <v>93</v>
      </c>
      <c r="K26" s="4">
        <v>93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</row>
    <row r="27" spans="1:18" ht="100.05" customHeight="1" x14ac:dyDescent="0.25">
      <c r="A27" s="4" t="s">
        <v>47</v>
      </c>
      <c r="B27" s="5">
        <v>46211</v>
      </c>
      <c r="C27" s="6">
        <v>0.48830000000000001</v>
      </c>
      <c r="D27" s="4" t="s">
        <v>48</v>
      </c>
      <c r="E27" s="4">
        <v>10658</v>
      </c>
      <c r="F27" s="4">
        <v>43</v>
      </c>
      <c r="G27" s="4">
        <v>41</v>
      </c>
      <c r="H27" s="4">
        <v>9</v>
      </c>
      <c r="I27" s="4">
        <v>5</v>
      </c>
      <c r="J27" s="4">
        <v>49</v>
      </c>
      <c r="K27" s="4">
        <v>49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</row>
    <row r="28" spans="1:18" ht="100.05" customHeight="1" x14ac:dyDescent="0.25">
      <c r="A28" s="4" t="s">
        <v>49</v>
      </c>
      <c r="B28" s="5">
        <v>46205</v>
      </c>
      <c r="C28" s="6">
        <v>0.26729999999999998</v>
      </c>
      <c r="D28" s="4" t="s">
        <v>50</v>
      </c>
      <c r="E28" s="4">
        <v>14397</v>
      </c>
      <c r="F28" s="4">
        <v>140</v>
      </c>
      <c r="G28" s="4">
        <v>94</v>
      </c>
      <c r="H28" s="4">
        <v>19</v>
      </c>
      <c r="I28" s="4">
        <v>24</v>
      </c>
      <c r="J28" s="4">
        <v>276</v>
      </c>
      <c r="K28" s="4">
        <v>276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</row>
    <row r="29" spans="1:18" ht="100.05" customHeight="1" x14ac:dyDescent="0.25">
      <c r="A29" s="4" t="s">
        <v>51</v>
      </c>
      <c r="B29" s="5">
        <v>46205</v>
      </c>
      <c r="C29" s="6">
        <v>0.1673</v>
      </c>
      <c r="D29" s="4" t="s">
        <v>52</v>
      </c>
      <c r="E29" s="4">
        <v>24416</v>
      </c>
      <c r="F29" s="4">
        <v>179</v>
      </c>
      <c r="G29" s="4">
        <v>125</v>
      </c>
      <c r="H29" s="4">
        <v>84</v>
      </c>
      <c r="I29" s="4">
        <v>36</v>
      </c>
      <c r="J29" s="4">
        <v>467</v>
      </c>
      <c r="K29" s="4">
        <v>467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</row>
  </sheetData>
  <mergeCells count="36">
    <mergeCell ref="R14:R24"/>
    <mergeCell ref="G14:G24"/>
    <mergeCell ref="H14:H24"/>
    <mergeCell ref="I14:I24"/>
    <mergeCell ref="J14:J24"/>
    <mergeCell ref="K14:K24"/>
    <mergeCell ref="L14:L24"/>
    <mergeCell ref="M14:M24"/>
    <mergeCell ref="N14:N24"/>
    <mergeCell ref="O14:O24"/>
    <mergeCell ref="P14:P24"/>
    <mergeCell ref="Q14:Q24"/>
    <mergeCell ref="A14:A24"/>
    <mergeCell ref="B14:B24"/>
    <mergeCell ref="C14:C24"/>
    <mergeCell ref="D14:D24"/>
    <mergeCell ref="E14:E24"/>
    <mergeCell ref="F14:F24"/>
    <mergeCell ref="M3:M13"/>
    <mergeCell ref="N3:N13"/>
    <mergeCell ref="O3:O13"/>
    <mergeCell ref="P3:P13"/>
    <mergeCell ref="F3:F13"/>
    <mergeCell ref="Q3:Q13"/>
    <mergeCell ref="R3:R13"/>
    <mergeCell ref="G3:G13"/>
    <mergeCell ref="H3:H13"/>
    <mergeCell ref="I3:I13"/>
    <mergeCell ref="J3:J13"/>
    <mergeCell ref="K3:K13"/>
    <mergeCell ref="L3:L13"/>
    <mergeCell ref="A3:A13"/>
    <mergeCell ref="B3:B13"/>
    <mergeCell ref="C3:C13"/>
    <mergeCell ref="D3:D13"/>
    <mergeCell ref="E3:E1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F50F-29B2-480D-8834-E166C36F7CDE}">
  <dimension ref="A1:R7"/>
  <sheetViews>
    <sheetView topLeftCell="F1" workbookViewId="0">
      <selection activeCell="J1" sqref="I1:J1"/>
    </sheetView>
  </sheetViews>
  <sheetFormatPr defaultRowHeight="13.8" x14ac:dyDescent="0.25"/>
  <cols>
    <col min="1" max="18" width="30.77734375" customWidth="1"/>
  </cols>
  <sheetData>
    <row r="1" spans="1:18" ht="61.2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64</v>
      </c>
      <c r="J1" s="3" t="s">
        <v>63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100.05" customHeight="1" x14ac:dyDescent="0.25">
      <c r="A2" s="4" t="s">
        <v>53</v>
      </c>
      <c r="B2" s="8">
        <v>46244</v>
      </c>
      <c r="C2" s="9">
        <v>0.1928</v>
      </c>
      <c r="D2" s="7" t="s">
        <v>54</v>
      </c>
      <c r="E2" s="7">
        <v>2689</v>
      </c>
      <c r="F2" s="7">
        <v>30</v>
      </c>
      <c r="G2" s="7">
        <v>29</v>
      </c>
      <c r="H2" s="7">
        <v>4</v>
      </c>
      <c r="I2" s="7">
        <v>2</v>
      </c>
      <c r="J2" s="7">
        <v>33</v>
      </c>
      <c r="K2" s="7">
        <v>33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</row>
    <row r="3" spans="1:18" ht="100.05" customHeight="1" x14ac:dyDescent="0.25">
      <c r="A3" s="4" t="s">
        <v>55</v>
      </c>
      <c r="B3" s="8">
        <v>46241</v>
      </c>
      <c r="C3" s="9">
        <v>0.28349999999999997</v>
      </c>
      <c r="D3" s="7" t="s">
        <v>56</v>
      </c>
      <c r="E3" s="7">
        <v>7944</v>
      </c>
      <c r="F3" s="7">
        <v>43</v>
      </c>
      <c r="G3" s="7">
        <v>37</v>
      </c>
      <c r="H3" s="7">
        <v>8</v>
      </c>
      <c r="I3" s="7">
        <v>4</v>
      </c>
      <c r="J3" s="7">
        <v>53</v>
      </c>
      <c r="K3" s="7">
        <v>53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</row>
    <row r="4" spans="1:18" ht="100.05" customHeight="1" x14ac:dyDescent="0.25">
      <c r="A4" s="4" t="s">
        <v>57</v>
      </c>
      <c r="B4" s="8">
        <v>46241</v>
      </c>
      <c r="C4" s="9">
        <v>0.24299999999999999</v>
      </c>
      <c r="D4" s="7" t="s">
        <v>58</v>
      </c>
      <c r="E4" s="7">
        <v>2252</v>
      </c>
      <c r="F4" s="7">
        <v>24</v>
      </c>
      <c r="G4" s="7">
        <v>20</v>
      </c>
      <c r="H4" s="7">
        <v>3</v>
      </c>
      <c r="I4" s="7">
        <v>3</v>
      </c>
      <c r="J4" s="7">
        <v>20</v>
      </c>
      <c r="K4" s="7">
        <v>20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</row>
    <row r="5" spans="1:18" ht="100.05" customHeight="1" x14ac:dyDescent="0.25">
      <c r="A5" s="4" t="s">
        <v>59</v>
      </c>
      <c r="B5" s="5">
        <v>46239</v>
      </c>
      <c r="C5" s="6">
        <v>0.24809999999999999</v>
      </c>
      <c r="D5" s="4" t="s">
        <v>60</v>
      </c>
      <c r="E5" s="4">
        <v>4412</v>
      </c>
      <c r="F5" s="4">
        <v>17</v>
      </c>
      <c r="G5" s="4">
        <v>14</v>
      </c>
      <c r="H5" s="4">
        <v>0</v>
      </c>
      <c r="I5" s="4">
        <v>0</v>
      </c>
      <c r="J5" s="4">
        <v>68</v>
      </c>
      <c r="K5" s="4">
        <v>68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</row>
    <row r="6" spans="1:18" ht="100.05" customHeight="1" x14ac:dyDescent="0.25">
      <c r="A6" s="4" t="s">
        <v>61</v>
      </c>
      <c r="B6" s="5">
        <v>46237</v>
      </c>
      <c r="C6" s="6">
        <v>0.1343</v>
      </c>
      <c r="D6" s="4" t="s">
        <v>62</v>
      </c>
      <c r="E6" s="4">
        <v>14380</v>
      </c>
      <c r="F6" s="4">
        <v>52</v>
      </c>
      <c r="G6" s="4">
        <v>41</v>
      </c>
      <c r="H6" s="4">
        <v>10</v>
      </c>
      <c r="I6" s="4">
        <v>9</v>
      </c>
      <c r="J6" s="4">
        <v>90</v>
      </c>
      <c r="K6" s="4">
        <v>90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</row>
    <row r="7" spans="1:18" ht="100.05" customHeight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4月</vt:lpstr>
      <vt:lpstr>5月</vt:lpstr>
      <vt:lpstr>6月</vt:lpstr>
      <vt:lpstr>7月</vt:lpstr>
      <vt:lpstr>8月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海海 毛</dc:creator>
  <cp:lastModifiedBy>海海 毛</cp:lastModifiedBy>
  <dcterms:created xsi:type="dcterms:W3CDTF">2026-08-11T08:10:46Z</dcterms:created>
  <dcterms:modified xsi:type="dcterms:W3CDTF">2026-08-11T09:18:16Z</dcterms:modified>
</cp:coreProperties>
</file>